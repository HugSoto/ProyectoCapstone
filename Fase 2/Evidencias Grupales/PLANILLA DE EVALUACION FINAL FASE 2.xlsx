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Users/mallenx/Downloads/2025_DUOC/CAPSTONE/fase 2/"/>
    </mc:Choice>
  </mc:AlternateContent>
  <xr:revisionPtr revIDLastSave="0" documentId="13_ncr:1_{67F52821-D369-3E4E-8180-6E18F9DC68D4}" xr6:coauthVersionLast="47" xr6:coauthVersionMax="47" xr10:uidLastSave="{00000000-0000-0000-0000-000000000000}"/>
  <bookViews>
    <workbookView xWindow="14400" yWindow="620" windowWidth="19140" windowHeight="19320" firstSheet="1" activeTab="2" xr2:uid="{00000000-000D-0000-FFFF-FFFF00000000}"/>
  </bookViews>
  <sheets>
    <sheet name="RUBRICA" sheetId="12" r:id="rId1"/>
    <sheet name="EVALUACION FF2" sheetId="1" r:id="rId2"/>
    <sheet name="AVA" sheetId="13" r:id="rId3"/>
    <sheet name="ESCALA_IEP" sheetId="2" state="hidden" r:id="rId4"/>
    <sheet name="ESCALA_PRESENTACION" sheetId="3" state="hidden" r:id="rId5"/>
    <sheet name="ESCALA_TRAB_EQUIP" sheetId="4" state="hidden" r:id="rId6"/>
    <sheet name="RELEVANCIA-PUNTAJE" sheetId="5" state="hidden" r:id="rId7"/>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<sst xmlns="http://schemas.openxmlformats.org/spreadsheetml/2006/main" count="135" uniqueCount="76">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</sst>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682389</xdr:colOff>
      <xdr:row>0</xdr:row>
      <xdr:rowOff>75821</xdr:rowOff>
    </xdr:from>
    <xdr:to>
      <xdr:col>18</xdr:col>
      <xdr:colOff>246419</xdr:colOff>
      <xdr:row>36</xdr:row>
      <xdr:rowOff>75485</xdr:rowOff>
    </xdr:to>
    <xdr:pic>
      <xdr:nvPicPr>
        <xdr:cNvPr id="2" name="Imagen 1">
          <a:extLst>
            <a:ext uri="{FF2B5EF4-FFF2-40B4-BE49-F238E27FC236}">
              <a16:creationId xmlns:a16="http://schemas.microsoft.com/office/drawing/2014/main" id="{163744AF-69FF-9320-CC67-41242470CABA}"/>
            </a:ext>
          </a:extLst>
        </xdr:cNvPr>
        <xdr:cNvPicPr>
          <a:picLocks noChangeAspect="1"/>
        </xdr:cNvPicPr>
      </xdr:nvPicPr>
      <xdr:blipFill>
        <a:blip xmlns:r="http://schemas.openxmlformats.org/officeDocument/2006/relationships" r:embed="rId1"/>
        <a:stretch>
          <a:fillRect/>
        </a:stretch>
      </xdr:blipFill>
      <xdr:spPr>
        <a:xfrm>
          <a:off x="3156046" y="75821"/>
          <a:ext cx="11932313" cy="6823545"/>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5" defaultRowHeight="15" x14ac:dyDescent="0.2"/>
  <cols>
    <col min="1" max="6" width="38.6640625" customWidth="1"/>
  </cols>
  <sheetData>
    <row r="1" spans="1:6" x14ac:dyDescent="0.2">
      <c r="A1" s="51" t="s">
        <v>0</v>
      </c>
      <c r="B1" s="51" t="s">
        <v>1</v>
      </c>
      <c r="C1" s="51"/>
      <c r="D1" s="51"/>
      <c r="E1" s="51"/>
      <c r="F1" s="51" t="s">
        <v>2</v>
      </c>
    </row>
    <row r="2" spans="1:6" ht="16" x14ac:dyDescent="0.2">
      <c r="A2" s="51"/>
      <c r="B2" s="52" t="s">
        <v>3</v>
      </c>
      <c r="C2" s="52" t="s">
        <v>4</v>
      </c>
      <c r="D2" s="35" t="s">
        <v>5</v>
      </c>
      <c r="E2" s="34" t="s">
        <v>6</v>
      </c>
      <c r="F2" s="51"/>
    </row>
    <row r="3" spans="1:6" x14ac:dyDescent="0.2">
      <c r="A3" s="51"/>
      <c r="B3" s="52"/>
      <c r="C3" s="52"/>
      <c r="D3" s="36">
        <v>-0.3</v>
      </c>
      <c r="E3" s="36">
        <v>0</v>
      </c>
      <c r="F3" s="51"/>
    </row>
    <row r="4" spans="1:6" ht="45" x14ac:dyDescent="0.2">
      <c r="A4" s="37" t="s">
        <v>7</v>
      </c>
      <c r="B4" s="37" t="s">
        <v>8</v>
      </c>
      <c r="C4" s="37" t="s">
        <v>9</v>
      </c>
      <c r="D4" s="37" t="s">
        <v>10</v>
      </c>
      <c r="E4" s="37" t="s">
        <v>11</v>
      </c>
      <c r="F4" s="38">
        <v>10</v>
      </c>
    </row>
    <row r="5" spans="1:6" ht="75" x14ac:dyDescent="0.2">
      <c r="A5" s="41" t="s">
        <v>12</v>
      </c>
      <c r="B5" s="37" t="s">
        <v>13</v>
      </c>
      <c r="C5" s="37" t="s">
        <v>14</v>
      </c>
      <c r="D5" s="37" t="s">
        <v>15</v>
      </c>
      <c r="E5" s="37" t="s">
        <v>16</v>
      </c>
      <c r="F5" s="38">
        <v>20</v>
      </c>
    </row>
    <row r="6" spans="1:6" ht="31" thickBot="1" x14ac:dyDescent="0.25">
      <c r="A6" s="41" t="s">
        <v>17</v>
      </c>
      <c r="B6" s="37" t="s">
        <v>18</v>
      </c>
      <c r="C6" s="37" t="s">
        <v>19</v>
      </c>
      <c r="D6" s="37" t="s">
        <v>20</v>
      </c>
      <c r="E6" s="37" t="s">
        <v>21</v>
      </c>
      <c r="F6" s="38">
        <v>5</v>
      </c>
    </row>
    <row r="7" spans="1:6" ht="60" x14ac:dyDescent="0.2">
      <c r="A7" s="42" t="s">
        <v>22</v>
      </c>
      <c r="B7" s="43" t="s">
        <v>23</v>
      </c>
      <c r="C7" s="43" t="s">
        <v>24</v>
      </c>
      <c r="D7" s="43" t="s">
        <v>25</v>
      </c>
      <c r="E7" s="44" t="s">
        <v>26</v>
      </c>
      <c r="F7" s="38">
        <v>5</v>
      </c>
    </row>
    <row r="8" spans="1:6" ht="45" x14ac:dyDescent="0.2">
      <c r="A8" s="41" t="s">
        <v>27</v>
      </c>
      <c r="B8" s="37" t="s">
        <v>28</v>
      </c>
      <c r="C8" s="37" t="s">
        <v>29</v>
      </c>
      <c r="D8" s="37" t="s">
        <v>30</v>
      </c>
      <c r="E8" s="37" t="s">
        <v>31</v>
      </c>
      <c r="F8" s="38">
        <v>5</v>
      </c>
    </row>
    <row r="9" spans="1:6" ht="45" x14ac:dyDescent="0.2">
      <c r="A9" s="41" t="s">
        <v>32</v>
      </c>
      <c r="B9" s="37" t="s">
        <v>33</v>
      </c>
      <c r="C9" s="37" t="s">
        <v>34</v>
      </c>
      <c r="D9" s="37" t="s">
        <v>35</v>
      </c>
      <c r="E9" s="37" t="s">
        <v>36</v>
      </c>
      <c r="F9" s="38">
        <v>5</v>
      </c>
    </row>
    <row r="10" spans="1:6" ht="60" x14ac:dyDescent="0.2">
      <c r="A10" s="41" t="s">
        <v>37</v>
      </c>
      <c r="B10" s="37" t="s">
        <v>38</v>
      </c>
      <c r="C10" s="37" t="s">
        <v>39</v>
      </c>
      <c r="D10" s="37" t="s">
        <v>40</v>
      </c>
      <c r="E10" s="37" t="s">
        <v>41</v>
      </c>
      <c r="F10" s="38">
        <v>15</v>
      </c>
    </row>
    <row r="11" spans="1:6" ht="61" thickBot="1" x14ac:dyDescent="0.25">
      <c r="A11" s="45" t="s">
        <v>42</v>
      </c>
      <c r="B11" s="26" t="s">
        <v>43</v>
      </c>
      <c r="C11" s="26" t="s">
        <v>44</v>
      </c>
      <c r="D11" s="26" t="s">
        <v>45</v>
      </c>
      <c r="E11" s="46" t="s">
        <v>46</v>
      </c>
      <c r="F11" s="38">
        <v>10</v>
      </c>
    </row>
    <row r="12" spans="1:6" ht="61" thickBot="1" x14ac:dyDescent="0.25">
      <c r="A12" s="47" t="s">
        <v>47</v>
      </c>
      <c r="B12" s="48" t="s">
        <v>48</v>
      </c>
      <c r="C12" s="48" t="s">
        <v>49</v>
      </c>
      <c r="D12" s="48" t="s">
        <v>50</v>
      </c>
      <c r="E12" s="48" t="s">
        <v>51</v>
      </c>
      <c r="F12" s="49">
        <v>15</v>
      </c>
    </row>
    <row r="13" spans="1:6" ht="91" thickBot="1" x14ac:dyDescent="0.25">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opLeftCell="A35" zoomScale="120" zoomScaleNormal="120" workbookViewId="0">
      <selection activeCell="B71" sqref="B71"/>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8">
        <v>1</v>
      </c>
    </row>
    <row r="3" spans="1:11" ht="16" x14ac:dyDescent="0.2">
      <c r="B3" s="3" t="s">
        <v>57</v>
      </c>
      <c r="C3" s="39" t="s">
        <v>58</v>
      </c>
      <c r="D3" s="40" t="s">
        <v>59</v>
      </c>
      <c r="E3" s="54"/>
    </row>
    <row r="4" spans="1:11" x14ac:dyDescent="0.2">
      <c r="A4" s="4">
        <v>1</v>
      </c>
      <c r="B4" s="27"/>
      <c r="C4" s="5">
        <f>'EVALUACION FF2'!$C$21</f>
        <v>7</v>
      </c>
      <c r="D4" s="5">
        <f>$C$32</f>
        <v>7</v>
      </c>
      <c r="E4" s="6">
        <f>C4*C$2+D4*D$2</f>
        <v>7</v>
      </c>
      <c r="G4" s="1"/>
    </row>
    <row r="5" spans="1:11" x14ac:dyDescent="0.2">
      <c r="A5" s="4">
        <v>2</v>
      </c>
      <c r="B5" s="27"/>
      <c r="C5" s="5">
        <f>'EVALUACION FF2'!$C$21</f>
        <v>7</v>
      </c>
      <c r="D5" s="5">
        <f>C44</f>
        <v>7</v>
      </c>
      <c r="E5" s="6">
        <f t="shared" ref="E5:E6" si="0">C5*C$2+D5*D$2</f>
        <v>7</v>
      </c>
      <c r="G5" s="1"/>
    </row>
    <row r="6" spans="1:11" x14ac:dyDescent="0.2">
      <c r="A6" s="4">
        <v>3</v>
      </c>
      <c r="B6" s="27"/>
      <c r="C6" s="5">
        <f>'EVALUACION FF2'!$C$21</f>
        <v>7</v>
      </c>
      <c r="D6" s="5">
        <f>C55</f>
        <v>7</v>
      </c>
      <c r="E6" s="6">
        <f t="shared" si="0"/>
        <v>7</v>
      </c>
      <c r="G6" s="1"/>
    </row>
    <row r="11" spans="1:11" ht="19" outlineLevel="1" x14ac:dyDescent="0.2">
      <c r="A11" s="69" t="s">
        <v>58</v>
      </c>
      <c r="B11" s="14"/>
      <c r="C11" s="55" t="s">
        <v>60</v>
      </c>
      <c r="D11" s="62" t="s">
        <v>61</v>
      </c>
      <c r="E11" s="67"/>
      <c r="F11" s="67"/>
      <c r="G11" s="67"/>
      <c r="H11" s="67"/>
      <c r="I11" s="67"/>
      <c r="J11" s="67"/>
      <c r="K11" s="63"/>
    </row>
    <row r="12" spans="1:11" outlineLevel="1" x14ac:dyDescent="0.2">
      <c r="A12" s="65"/>
      <c r="B12" s="24" t="s">
        <v>62</v>
      </c>
      <c r="C12" s="54"/>
      <c r="D12" s="62" t="s">
        <v>63</v>
      </c>
      <c r="E12" s="63"/>
      <c r="F12" s="62" t="s">
        <v>64</v>
      </c>
      <c r="G12" s="63"/>
      <c r="H12" s="66" t="s">
        <v>65</v>
      </c>
      <c r="I12" s="63"/>
      <c r="J12" s="62" t="s">
        <v>6</v>
      </c>
      <c r="K12" s="63"/>
    </row>
    <row r="13" spans="1:11" ht="26" outlineLevel="1" x14ac:dyDescent="0.2">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39" outlineLevel="1" x14ac:dyDescent="0.2">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outlineLevel="1" x14ac:dyDescent="0.2">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6" outlineLevel="1" x14ac:dyDescent="0.2">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6" outlineLevel="1" x14ac:dyDescent="0.2">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26" outlineLevel="1" x14ac:dyDescent="0.2">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3" customHeight="1" outlineLevel="1" x14ac:dyDescent="0.2">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25">
      <c r="A20" s="65"/>
      <c r="B20" s="29" t="s">
        <v>66</v>
      </c>
      <c r="C20" s="33">
        <f>E20+G20+I20+K20</f>
        <v>75</v>
      </c>
      <c r="D20" s="19"/>
      <c r="E20" s="19">
        <f>SUM(E13:E19)</f>
        <v>75</v>
      </c>
      <c r="F20" s="19"/>
      <c r="G20" s="19">
        <f>SUM(G13:G19)</f>
        <v>0</v>
      </c>
      <c r="H20" s="19"/>
      <c r="I20" s="19">
        <f>SUM(I13:I19)</f>
        <v>0</v>
      </c>
      <c r="J20" s="19"/>
      <c r="K20" s="19">
        <f>SUM(K13:K19)</f>
        <v>0</v>
      </c>
    </row>
    <row r="21" spans="1:11" ht="15.75" customHeight="1" outlineLevel="1" x14ac:dyDescent="0.25">
      <c r="A21" s="54"/>
      <c r="B21" s="32" t="s">
        <v>67</v>
      </c>
      <c r="C21" s="20">
        <f>VLOOKUP(C20,ESCALA_IEP!A1:B152,2,FALSE)</f>
        <v>7</v>
      </c>
    </row>
    <row r="22" spans="1:11" ht="15.75" customHeight="1" x14ac:dyDescent="0.2"/>
    <row r="23" spans="1:11" ht="15.75" customHeight="1" x14ac:dyDescent="0.2"/>
    <row r="24" spans="1:11" ht="15.75" customHeight="1" x14ac:dyDescent="0.2">
      <c r="A24" s="64" t="s">
        <v>59</v>
      </c>
      <c r="B24" s="53" t="s">
        <v>68</v>
      </c>
      <c r="C24" s="56">
        <f>$B$4</f>
        <v>0</v>
      </c>
      <c r="D24" s="57"/>
      <c r="E24" s="57"/>
      <c r="F24" s="57"/>
      <c r="G24" s="57"/>
      <c r="H24" s="57"/>
      <c r="I24" s="57"/>
      <c r="J24" s="57"/>
      <c r="K24" s="58"/>
    </row>
    <row r="25" spans="1:11" ht="15.75" customHeight="1" x14ac:dyDescent="0.2">
      <c r="A25" s="65"/>
      <c r="B25" s="54"/>
      <c r="C25" s="59"/>
      <c r="D25" s="60"/>
      <c r="E25" s="60"/>
      <c r="F25" s="60"/>
      <c r="G25" s="60"/>
      <c r="H25" s="60"/>
      <c r="I25" s="60"/>
      <c r="J25" s="60"/>
      <c r="K25" s="61"/>
    </row>
    <row r="26" spans="1:11" ht="15.75" customHeight="1" x14ac:dyDescent="0.2">
      <c r="A26" s="65"/>
      <c r="B26" s="14" t="s">
        <v>69</v>
      </c>
      <c r="C26" s="55" t="s">
        <v>60</v>
      </c>
      <c r="D26" s="62" t="s">
        <v>61</v>
      </c>
      <c r="E26" s="67"/>
      <c r="F26" s="67"/>
      <c r="G26" s="67"/>
      <c r="H26" s="67"/>
      <c r="I26" s="67"/>
      <c r="J26" s="67"/>
      <c r="K26" s="63"/>
    </row>
    <row r="27" spans="1:11" ht="15.75" customHeight="1" x14ac:dyDescent="0.2">
      <c r="A27" s="65"/>
      <c r="B27" s="15" t="s">
        <v>62</v>
      </c>
      <c r="C27" s="54"/>
      <c r="D27" s="62" t="s">
        <v>63</v>
      </c>
      <c r="E27" s="63"/>
      <c r="F27" s="62" t="s">
        <v>64</v>
      </c>
      <c r="G27" s="63"/>
      <c r="H27" s="66" t="s">
        <v>65</v>
      </c>
      <c r="I27" s="63"/>
      <c r="J27" s="62" t="s">
        <v>6</v>
      </c>
      <c r="K27" s="63"/>
    </row>
    <row r="28" spans="1:11" x14ac:dyDescent="0.2">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5" customHeight="1" x14ac:dyDescent="0.2">
      <c r="A29" s="65"/>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6" customHeight="1" x14ac:dyDescent="0.2">
      <c r="A30" s="65"/>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25">
      <c r="A31" s="65"/>
      <c r="B31" s="21" t="s">
        <v>70</v>
      </c>
      <c r="C31" s="18">
        <f>E31+G31+I31+K31</f>
        <v>25</v>
      </c>
      <c r="D31" s="19"/>
      <c r="E31" s="19">
        <f>SUM(E28:E30)</f>
        <v>25</v>
      </c>
      <c r="F31" s="19"/>
      <c r="G31" s="19">
        <f>SUM(G28:G30)</f>
        <v>0</v>
      </c>
      <c r="H31" s="19"/>
      <c r="I31" s="19">
        <f>SUM(I28:I30)</f>
        <v>0</v>
      </c>
      <c r="J31" s="19"/>
      <c r="K31" s="19">
        <f>SUM(K29:K30)</f>
        <v>0</v>
      </c>
    </row>
    <row r="32" spans="1:11" ht="15.75" customHeight="1" x14ac:dyDescent="0.25">
      <c r="A32" s="54"/>
      <c r="B32" s="17" t="s">
        <v>67</v>
      </c>
      <c r="C32" s="20">
        <f>VLOOKUP(C31,ESCALA_TRAB_EQUIP!A1:B52,2,FALSE)</f>
        <v>7</v>
      </c>
    </row>
    <row r="33" spans="1:11" ht="15.75" customHeight="1" x14ac:dyDescent="0.25">
      <c r="B33" s="22"/>
      <c r="C33" s="23"/>
    </row>
    <row r="34" spans="1:11" ht="15.75" customHeight="1" x14ac:dyDescent="0.25">
      <c r="B34" s="22"/>
      <c r="C34" s="23"/>
    </row>
    <row r="35" spans="1:11" ht="15.75" customHeight="1" x14ac:dyDescent="0.2"/>
    <row r="36" spans="1:11" ht="15.75" customHeight="1" x14ac:dyDescent="0.2">
      <c r="A36" s="64" t="s">
        <v>59</v>
      </c>
      <c r="B36" s="53" t="s">
        <v>68</v>
      </c>
      <c r="C36" s="56">
        <f>B5</f>
        <v>0</v>
      </c>
      <c r="D36" s="57"/>
      <c r="E36" s="57"/>
      <c r="F36" s="57"/>
      <c r="G36" s="57"/>
      <c r="H36" s="57"/>
      <c r="I36" s="57"/>
      <c r="J36" s="57"/>
      <c r="K36" s="58"/>
    </row>
    <row r="37" spans="1:11" ht="15.75" customHeight="1" x14ac:dyDescent="0.2">
      <c r="A37" s="65"/>
      <c r="B37" s="54"/>
      <c r="C37" s="59"/>
      <c r="D37" s="60"/>
      <c r="E37" s="60"/>
      <c r="F37" s="60"/>
      <c r="G37" s="60"/>
      <c r="H37" s="60"/>
      <c r="I37" s="60"/>
      <c r="J37" s="60"/>
      <c r="K37" s="61"/>
    </row>
    <row r="38" spans="1:11" ht="15.75" customHeight="1" x14ac:dyDescent="0.2">
      <c r="A38" s="65"/>
      <c r="B38" s="14" t="s">
        <v>69</v>
      </c>
      <c r="C38" s="55" t="s">
        <v>60</v>
      </c>
      <c r="D38" s="62" t="s">
        <v>61</v>
      </c>
      <c r="E38" s="67"/>
      <c r="F38" s="67"/>
      <c r="G38" s="67"/>
      <c r="H38" s="67"/>
      <c r="I38" s="67"/>
      <c r="J38" s="67"/>
      <c r="K38" s="63"/>
    </row>
    <row r="39" spans="1:11" ht="15.75" customHeight="1" x14ac:dyDescent="0.2">
      <c r="A39" s="65"/>
      <c r="B39" s="15" t="s">
        <v>62</v>
      </c>
      <c r="C39" s="54"/>
      <c r="D39" s="62" t="s">
        <v>63</v>
      </c>
      <c r="E39" s="63"/>
      <c r="F39" s="62" t="s">
        <v>64</v>
      </c>
      <c r="G39" s="63"/>
      <c r="H39" s="66" t="s">
        <v>65</v>
      </c>
      <c r="I39" s="63"/>
      <c r="J39" s="62" t="s">
        <v>6</v>
      </c>
      <c r="K39" s="63"/>
    </row>
    <row r="40" spans="1:11" ht="15.75" customHeight="1" x14ac:dyDescent="0.2">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6" customHeight="1" x14ac:dyDescent="0.2">
      <c r="A41" s="65"/>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
      <c r="A42" s="6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25">
      <c r="A43" s="65"/>
      <c r="B43" s="21" t="s">
        <v>70</v>
      </c>
      <c r="C43" s="18">
        <f>E43+G43+I43+K43</f>
        <v>25</v>
      </c>
      <c r="D43" s="19"/>
      <c r="E43" s="19">
        <f>SUM(E40:E42)</f>
        <v>25</v>
      </c>
      <c r="F43" s="19"/>
      <c r="G43" s="19">
        <f>SUM(G40:G42)</f>
        <v>0</v>
      </c>
      <c r="H43" s="19"/>
      <c r="I43" s="19">
        <f>SUM(I40:I42)</f>
        <v>0</v>
      </c>
      <c r="J43" s="19"/>
      <c r="K43" s="19">
        <f>SUM(K41:K42)</f>
        <v>0</v>
      </c>
    </row>
    <row r="44" spans="1:11" ht="15.75" customHeight="1" x14ac:dyDescent="0.25">
      <c r="A44" s="54"/>
      <c r="B44" s="17" t="s">
        <v>67</v>
      </c>
      <c r="C44" s="20">
        <f>VLOOKUP(C43,ESCALA_TRAB_EQUIP!A1:B52,2,FALSE)</f>
        <v>7</v>
      </c>
    </row>
    <row r="45" spans="1:11" ht="15.75" customHeight="1" x14ac:dyDescent="0.25">
      <c r="B45" s="22"/>
      <c r="C45" s="23"/>
    </row>
    <row r="46" spans="1:11" ht="15.75" customHeight="1" x14ac:dyDescent="0.25">
      <c r="B46" s="22"/>
      <c r="C46" s="23"/>
    </row>
    <row r="47" spans="1:11" ht="15.75" customHeight="1" x14ac:dyDescent="0.2">
      <c r="A47" s="64" t="s">
        <v>59</v>
      </c>
      <c r="B47" s="53" t="s">
        <v>68</v>
      </c>
      <c r="C47" s="56">
        <f>B6</f>
        <v>0</v>
      </c>
      <c r="D47" s="57"/>
      <c r="E47" s="57"/>
      <c r="F47" s="57"/>
      <c r="G47" s="57"/>
      <c r="H47" s="57"/>
      <c r="I47" s="57"/>
      <c r="J47" s="57"/>
      <c r="K47" s="58"/>
    </row>
    <row r="48" spans="1:11" ht="15.75" customHeight="1" x14ac:dyDescent="0.2">
      <c r="A48" s="65"/>
      <c r="B48" s="54"/>
      <c r="C48" s="59"/>
      <c r="D48" s="60"/>
      <c r="E48" s="60"/>
      <c r="F48" s="60"/>
      <c r="G48" s="60"/>
      <c r="H48" s="60"/>
      <c r="I48" s="60"/>
      <c r="J48" s="60"/>
      <c r="K48" s="61"/>
    </row>
    <row r="49" spans="1:11" ht="15.75" customHeight="1" x14ac:dyDescent="0.2">
      <c r="A49" s="65"/>
      <c r="B49" s="14" t="s">
        <v>69</v>
      </c>
      <c r="C49" s="55" t="s">
        <v>60</v>
      </c>
      <c r="D49" s="62" t="s">
        <v>61</v>
      </c>
      <c r="E49" s="67"/>
      <c r="F49" s="67"/>
      <c r="G49" s="67"/>
      <c r="H49" s="67"/>
      <c r="I49" s="67"/>
      <c r="J49" s="67"/>
      <c r="K49" s="63"/>
    </row>
    <row r="50" spans="1:11" ht="15.75" customHeight="1" x14ac:dyDescent="0.2">
      <c r="A50" s="65"/>
      <c r="B50" s="15" t="s">
        <v>62</v>
      </c>
      <c r="C50" s="54"/>
      <c r="D50" s="62" t="s">
        <v>63</v>
      </c>
      <c r="E50" s="63"/>
      <c r="F50" s="62" t="s">
        <v>64</v>
      </c>
      <c r="G50" s="63"/>
      <c r="H50" s="66" t="s">
        <v>65</v>
      </c>
      <c r="I50" s="63"/>
      <c r="J50" s="62" t="s">
        <v>6</v>
      </c>
      <c r="K50" s="63"/>
    </row>
    <row r="51" spans="1:11" ht="15.75" customHeight="1" x14ac:dyDescent="0.2">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6" customHeight="1" x14ac:dyDescent="0.2">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25">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25">
      <c r="A55" s="54"/>
      <c r="B55" s="17" t="s">
        <v>67</v>
      </c>
      <c r="C55" s="20">
        <f>VLOOKUP(C54,ESCALA_TRAB_EQUIP!A1:B52,2,FALSE)</f>
        <v>7</v>
      </c>
    </row>
    <row r="56" spans="1:11" ht="15.75" customHeight="1" x14ac:dyDescent="0.25">
      <c r="B56" s="22"/>
      <c r="C56" s="23"/>
    </row>
    <row r="57" spans="1:11" ht="15.75" customHeight="1" x14ac:dyDescent="0.2"/>
    <row r="58" spans="1:11" ht="15.75" customHeight="1" x14ac:dyDescent="0.2"/>
    <row r="59" spans="1:11" ht="15.75" customHeight="1" x14ac:dyDescent="0.2"/>
    <row r="60" spans="1:11" ht="15.75" customHeight="1" x14ac:dyDescent="0.2"/>
    <row r="61" spans="1:11" ht="15.75" customHeight="1" x14ac:dyDescent="0.2"/>
    <row r="62" spans="1:11" ht="15.75" customHeight="1" x14ac:dyDescent="0.2"/>
    <row r="63" spans="1:11" ht="15.75" customHeight="1" x14ac:dyDescent="0.2"/>
    <row r="64" spans="1: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19161-95CF-644D-8993-9E8DB4E388D6}">
  <dimension ref="A1"/>
  <sheetViews>
    <sheetView tabSelected="1" topLeftCell="D1" zoomScale="134" zoomScaleNormal="134" workbookViewId="0">
      <selection activeCell="L12" sqref="L12"/>
    </sheetView>
  </sheetViews>
  <sheetFormatPr baseColWidth="10" defaultRowHeight="15" x14ac:dyDescent="0.2"/>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66</v>
      </c>
      <c r="B1" t="s">
        <v>67</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1.2</v>
      </c>
    </row>
    <row r="8" spans="1:2" x14ac:dyDescent="0.2">
      <c r="A8">
        <v>3</v>
      </c>
      <c r="B8">
        <v>1.2</v>
      </c>
    </row>
    <row r="9" spans="1:2" x14ac:dyDescent="0.2">
      <c r="A9">
        <v>3.5</v>
      </c>
      <c r="B9">
        <v>1.2</v>
      </c>
    </row>
    <row r="10" spans="1:2" x14ac:dyDescent="0.2">
      <c r="A10">
        <v>4</v>
      </c>
      <c r="B10">
        <v>1.3</v>
      </c>
    </row>
    <row r="11" spans="1:2" x14ac:dyDescent="0.2">
      <c r="A11">
        <v>4.5</v>
      </c>
      <c r="B11">
        <v>1.3</v>
      </c>
    </row>
    <row r="12" spans="1:2" x14ac:dyDescent="0.2">
      <c r="A12">
        <v>5</v>
      </c>
      <c r="B12">
        <v>1.3</v>
      </c>
    </row>
    <row r="13" spans="1:2" x14ac:dyDescent="0.2">
      <c r="A13">
        <v>5.5</v>
      </c>
      <c r="B13">
        <v>1.4</v>
      </c>
    </row>
    <row r="14" spans="1:2" x14ac:dyDescent="0.2">
      <c r="A14">
        <v>6</v>
      </c>
      <c r="B14">
        <v>1.4</v>
      </c>
    </row>
    <row r="15" spans="1:2" x14ac:dyDescent="0.2">
      <c r="A15">
        <v>6.5</v>
      </c>
      <c r="B15">
        <v>1.4</v>
      </c>
    </row>
    <row r="16" spans="1:2" x14ac:dyDescent="0.2">
      <c r="A16">
        <v>7</v>
      </c>
      <c r="B16">
        <v>1.5</v>
      </c>
    </row>
    <row r="17" spans="1:2" x14ac:dyDescent="0.2">
      <c r="A17">
        <v>7.5</v>
      </c>
      <c r="B17">
        <v>1.5</v>
      </c>
    </row>
    <row r="18" spans="1:2" x14ac:dyDescent="0.2">
      <c r="A18">
        <v>8</v>
      </c>
      <c r="B18">
        <v>1.5</v>
      </c>
    </row>
    <row r="19" spans="1:2" x14ac:dyDescent="0.2">
      <c r="A19">
        <v>8.5</v>
      </c>
      <c r="B19">
        <v>1.6</v>
      </c>
    </row>
    <row r="20" spans="1:2" x14ac:dyDescent="0.2">
      <c r="A20">
        <v>9</v>
      </c>
      <c r="B20">
        <v>1.6</v>
      </c>
    </row>
    <row r="21" spans="1:2" ht="15.75" customHeight="1" x14ac:dyDescent="0.2">
      <c r="A21">
        <v>9.5</v>
      </c>
      <c r="B21">
        <v>1.6</v>
      </c>
    </row>
    <row r="22" spans="1:2" ht="15.75" customHeight="1" x14ac:dyDescent="0.2">
      <c r="A22">
        <v>10</v>
      </c>
      <c r="B22">
        <v>1.7</v>
      </c>
    </row>
    <row r="23" spans="1:2" ht="15.75" customHeight="1" x14ac:dyDescent="0.2">
      <c r="A23">
        <v>10.5</v>
      </c>
      <c r="B23">
        <v>1.7</v>
      </c>
    </row>
    <row r="24" spans="1:2" ht="15.75" customHeight="1" x14ac:dyDescent="0.2">
      <c r="A24">
        <v>11</v>
      </c>
      <c r="B24">
        <v>1.7</v>
      </c>
    </row>
    <row r="25" spans="1:2" ht="15.75" customHeight="1" x14ac:dyDescent="0.2">
      <c r="A25">
        <v>11.5</v>
      </c>
      <c r="B25">
        <v>1.8</v>
      </c>
    </row>
    <row r="26" spans="1:2" ht="15.75" customHeight="1" x14ac:dyDescent="0.2">
      <c r="A26">
        <v>12</v>
      </c>
      <c r="B26">
        <v>1.8</v>
      </c>
    </row>
    <row r="27" spans="1:2" ht="15.75" customHeight="1" x14ac:dyDescent="0.2">
      <c r="A27">
        <v>12.5</v>
      </c>
      <c r="B27">
        <v>1.8</v>
      </c>
    </row>
    <row r="28" spans="1:2" ht="15.75" customHeight="1" x14ac:dyDescent="0.2">
      <c r="A28">
        <v>13</v>
      </c>
      <c r="B28">
        <v>1.9</v>
      </c>
    </row>
    <row r="29" spans="1:2" ht="15.75" customHeight="1" x14ac:dyDescent="0.2">
      <c r="A29">
        <v>13.5</v>
      </c>
      <c r="B29">
        <v>1.9</v>
      </c>
    </row>
    <row r="30" spans="1:2" ht="15.75" customHeight="1" x14ac:dyDescent="0.2">
      <c r="A30">
        <v>14</v>
      </c>
      <c r="B30">
        <v>1.9</v>
      </c>
    </row>
    <row r="31" spans="1:2" ht="15.75" customHeight="1" x14ac:dyDescent="0.2">
      <c r="A31">
        <v>14.5</v>
      </c>
      <c r="B31">
        <v>2</v>
      </c>
    </row>
    <row r="32" spans="1:2" ht="15.75" customHeight="1" x14ac:dyDescent="0.2">
      <c r="A32">
        <v>15</v>
      </c>
      <c r="B32">
        <v>2</v>
      </c>
    </row>
    <row r="33" spans="1:2" ht="15.75" customHeight="1" x14ac:dyDescent="0.2">
      <c r="A33">
        <v>15.5</v>
      </c>
      <c r="B33">
        <v>2</v>
      </c>
    </row>
    <row r="34" spans="1:2" ht="15.75" customHeight="1" x14ac:dyDescent="0.2">
      <c r="A34">
        <v>16</v>
      </c>
      <c r="B34">
        <v>2.1</v>
      </c>
    </row>
    <row r="35" spans="1:2" ht="15.75" customHeight="1" x14ac:dyDescent="0.2">
      <c r="A35">
        <v>16.5</v>
      </c>
      <c r="B35">
        <v>2.1</v>
      </c>
    </row>
    <row r="36" spans="1:2" ht="15.75" customHeight="1" x14ac:dyDescent="0.2">
      <c r="A36">
        <v>17</v>
      </c>
      <c r="B36">
        <v>2.1</v>
      </c>
    </row>
    <row r="37" spans="1:2" ht="15.75" customHeight="1" x14ac:dyDescent="0.2">
      <c r="A37">
        <v>17.5</v>
      </c>
      <c r="B37">
        <v>2.2000000000000002</v>
      </c>
    </row>
    <row r="38" spans="1:2" ht="15.75" customHeight="1" x14ac:dyDescent="0.2">
      <c r="A38">
        <v>18</v>
      </c>
      <c r="B38">
        <v>2.2000000000000002</v>
      </c>
    </row>
    <row r="39" spans="1:2" ht="15.75" customHeight="1" x14ac:dyDescent="0.2">
      <c r="A39">
        <v>18.5</v>
      </c>
      <c r="B39">
        <v>2.2000000000000002</v>
      </c>
    </row>
    <row r="40" spans="1:2" ht="15.75" customHeight="1" x14ac:dyDescent="0.2">
      <c r="A40">
        <v>19</v>
      </c>
      <c r="B40">
        <v>2.2999999999999998</v>
      </c>
    </row>
    <row r="41" spans="1:2" ht="15.75" customHeight="1" x14ac:dyDescent="0.2">
      <c r="A41">
        <v>19.5</v>
      </c>
      <c r="B41">
        <v>2.2999999999999998</v>
      </c>
    </row>
    <row r="42" spans="1:2" ht="15.75" customHeight="1" x14ac:dyDescent="0.2">
      <c r="A42">
        <v>20</v>
      </c>
      <c r="B42">
        <v>2.2999999999999998</v>
      </c>
    </row>
    <row r="43" spans="1:2" ht="15.75" customHeight="1" x14ac:dyDescent="0.2">
      <c r="A43">
        <v>20.5</v>
      </c>
      <c r="B43">
        <v>2.4</v>
      </c>
    </row>
    <row r="44" spans="1:2" ht="15.75" customHeight="1" x14ac:dyDescent="0.2">
      <c r="A44">
        <v>21</v>
      </c>
      <c r="B44">
        <v>2.4</v>
      </c>
    </row>
    <row r="45" spans="1:2" ht="15.75" customHeight="1" x14ac:dyDescent="0.2">
      <c r="A45">
        <v>21.5</v>
      </c>
      <c r="B45">
        <v>2.4</v>
      </c>
    </row>
    <row r="46" spans="1:2" ht="15.75" customHeight="1" x14ac:dyDescent="0.2">
      <c r="A46">
        <v>22</v>
      </c>
      <c r="B46">
        <v>2.5</v>
      </c>
    </row>
    <row r="47" spans="1:2" ht="15.75" customHeight="1" x14ac:dyDescent="0.2">
      <c r="A47">
        <v>22.5</v>
      </c>
      <c r="B47">
        <v>2.5</v>
      </c>
    </row>
    <row r="48" spans="1:2" ht="15.75" customHeight="1" x14ac:dyDescent="0.2">
      <c r="A48">
        <v>23</v>
      </c>
      <c r="B48">
        <v>2.5</v>
      </c>
    </row>
    <row r="49" spans="1:2" ht="15.75" customHeight="1" x14ac:dyDescent="0.2">
      <c r="A49">
        <v>23.5</v>
      </c>
      <c r="B49">
        <v>2.6</v>
      </c>
    </row>
    <row r="50" spans="1:2" ht="15.75" customHeight="1" x14ac:dyDescent="0.2">
      <c r="A50">
        <v>24</v>
      </c>
      <c r="B50">
        <v>2.6</v>
      </c>
    </row>
    <row r="51" spans="1:2" ht="15.75" customHeight="1" x14ac:dyDescent="0.2">
      <c r="A51">
        <v>24.5</v>
      </c>
      <c r="B51">
        <v>2.6</v>
      </c>
    </row>
    <row r="52" spans="1:2" ht="15.75" customHeight="1" x14ac:dyDescent="0.2">
      <c r="A52">
        <v>25</v>
      </c>
      <c r="B52">
        <v>2.7</v>
      </c>
    </row>
    <row r="53" spans="1:2" ht="15.75" customHeight="1" x14ac:dyDescent="0.2">
      <c r="A53">
        <v>25.5</v>
      </c>
      <c r="B53">
        <v>2.7</v>
      </c>
    </row>
    <row r="54" spans="1:2" ht="15.75" customHeight="1" x14ac:dyDescent="0.2">
      <c r="A54">
        <v>26</v>
      </c>
      <c r="B54">
        <v>2.7</v>
      </c>
    </row>
    <row r="55" spans="1:2" ht="15.75" customHeight="1" x14ac:dyDescent="0.2">
      <c r="A55">
        <v>26.5</v>
      </c>
      <c r="B55">
        <v>2.8</v>
      </c>
    </row>
    <row r="56" spans="1:2" ht="15.75" customHeight="1" x14ac:dyDescent="0.2">
      <c r="A56">
        <v>27</v>
      </c>
      <c r="B56">
        <v>2.8</v>
      </c>
    </row>
    <row r="57" spans="1:2" ht="15.75" customHeight="1" x14ac:dyDescent="0.2">
      <c r="A57">
        <v>27.5</v>
      </c>
      <c r="B57">
        <v>2.8</v>
      </c>
    </row>
    <row r="58" spans="1:2" ht="15.75" customHeight="1" x14ac:dyDescent="0.2">
      <c r="A58">
        <v>28</v>
      </c>
      <c r="B58">
        <v>2.9</v>
      </c>
    </row>
    <row r="59" spans="1:2" ht="15.75" customHeight="1" x14ac:dyDescent="0.2">
      <c r="A59">
        <v>28.5</v>
      </c>
      <c r="B59">
        <v>2.9</v>
      </c>
    </row>
    <row r="60" spans="1:2" ht="15.75" customHeight="1" x14ac:dyDescent="0.2">
      <c r="A60">
        <v>29</v>
      </c>
      <c r="B60">
        <v>2.9</v>
      </c>
    </row>
    <row r="61" spans="1:2" ht="15.75" customHeight="1" x14ac:dyDescent="0.2">
      <c r="A61">
        <v>29.5</v>
      </c>
      <c r="B61">
        <v>3</v>
      </c>
    </row>
    <row r="62" spans="1:2" ht="15.75" customHeight="1" x14ac:dyDescent="0.2">
      <c r="A62">
        <v>30</v>
      </c>
      <c r="B62">
        <v>3</v>
      </c>
    </row>
    <row r="63" spans="1:2" ht="15.75" customHeight="1" x14ac:dyDescent="0.2">
      <c r="A63">
        <v>30.5</v>
      </c>
      <c r="B63">
        <v>3</v>
      </c>
    </row>
    <row r="64" spans="1:2" ht="15.75" customHeight="1" x14ac:dyDescent="0.2">
      <c r="A64">
        <v>31</v>
      </c>
      <c r="B64">
        <v>3.1</v>
      </c>
    </row>
    <row r="65" spans="1:2" ht="15.75" customHeight="1" x14ac:dyDescent="0.2">
      <c r="A65">
        <v>31.5</v>
      </c>
      <c r="B65">
        <v>3.1</v>
      </c>
    </row>
    <row r="66" spans="1:2" ht="15.75" customHeight="1" x14ac:dyDescent="0.2">
      <c r="A66">
        <v>32</v>
      </c>
      <c r="B66">
        <v>3.1</v>
      </c>
    </row>
    <row r="67" spans="1:2" ht="15.75" customHeight="1" x14ac:dyDescent="0.2">
      <c r="A67">
        <v>32.5</v>
      </c>
      <c r="B67">
        <v>3.2</v>
      </c>
    </row>
    <row r="68" spans="1:2" ht="15.75" customHeight="1" x14ac:dyDescent="0.2">
      <c r="A68">
        <v>33</v>
      </c>
      <c r="B68">
        <v>3.2</v>
      </c>
    </row>
    <row r="69" spans="1:2" ht="15.75" customHeight="1" x14ac:dyDescent="0.2">
      <c r="A69">
        <v>33.5</v>
      </c>
      <c r="B69">
        <v>3.2</v>
      </c>
    </row>
    <row r="70" spans="1:2" ht="15.75" customHeight="1" x14ac:dyDescent="0.2">
      <c r="A70">
        <v>34</v>
      </c>
      <c r="B70">
        <v>3.3</v>
      </c>
    </row>
    <row r="71" spans="1:2" ht="15.75" customHeight="1" x14ac:dyDescent="0.2">
      <c r="A71">
        <v>34.5</v>
      </c>
      <c r="B71">
        <v>3.3</v>
      </c>
    </row>
    <row r="72" spans="1:2" ht="15.75" customHeight="1" x14ac:dyDescent="0.2">
      <c r="A72">
        <v>35</v>
      </c>
      <c r="B72">
        <v>3.3</v>
      </c>
    </row>
    <row r="73" spans="1:2" ht="15.75" customHeight="1" x14ac:dyDescent="0.2">
      <c r="A73">
        <v>35.5</v>
      </c>
      <c r="B73">
        <v>3.4</v>
      </c>
    </row>
    <row r="74" spans="1:2" ht="15.75" customHeight="1" x14ac:dyDescent="0.2">
      <c r="A74">
        <v>36</v>
      </c>
      <c r="B74">
        <v>3.4</v>
      </c>
    </row>
    <row r="75" spans="1:2" ht="15.75" customHeight="1" x14ac:dyDescent="0.2">
      <c r="A75">
        <v>36.5</v>
      </c>
      <c r="B75">
        <v>3.4</v>
      </c>
    </row>
    <row r="76" spans="1:2" ht="15.75" customHeight="1" x14ac:dyDescent="0.2">
      <c r="A76">
        <v>37</v>
      </c>
      <c r="B76">
        <v>3.5</v>
      </c>
    </row>
    <row r="77" spans="1:2" ht="15.75" customHeight="1" x14ac:dyDescent="0.2">
      <c r="A77">
        <v>37.5</v>
      </c>
      <c r="B77">
        <v>3.5</v>
      </c>
    </row>
    <row r="78" spans="1:2" ht="15.75" customHeight="1" x14ac:dyDescent="0.2">
      <c r="A78">
        <v>38</v>
      </c>
      <c r="B78">
        <v>3.5</v>
      </c>
    </row>
    <row r="79" spans="1:2" ht="15.75" customHeight="1" x14ac:dyDescent="0.2">
      <c r="A79">
        <v>38.5</v>
      </c>
      <c r="B79">
        <v>3.6</v>
      </c>
    </row>
    <row r="80" spans="1:2" ht="15.75" customHeight="1" x14ac:dyDescent="0.2">
      <c r="A80">
        <v>39</v>
      </c>
      <c r="B80">
        <v>3.6</v>
      </c>
    </row>
    <row r="81" spans="1:2" ht="15.75" customHeight="1" x14ac:dyDescent="0.2">
      <c r="A81">
        <v>39.5</v>
      </c>
      <c r="B81">
        <v>3.6</v>
      </c>
    </row>
    <row r="82" spans="1:2" ht="15.75" customHeight="1" x14ac:dyDescent="0.2">
      <c r="A82">
        <v>40</v>
      </c>
      <c r="B82">
        <v>3.7</v>
      </c>
    </row>
    <row r="83" spans="1:2" ht="15.75" customHeight="1" x14ac:dyDescent="0.2">
      <c r="A83">
        <v>40.5</v>
      </c>
      <c r="B83">
        <v>3.7</v>
      </c>
    </row>
    <row r="84" spans="1:2" ht="15.75" customHeight="1" x14ac:dyDescent="0.2">
      <c r="A84">
        <v>41</v>
      </c>
      <c r="B84">
        <v>3.7</v>
      </c>
    </row>
    <row r="85" spans="1:2" ht="15.75" customHeight="1" x14ac:dyDescent="0.2">
      <c r="A85">
        <v>41.5</v>
      </c>
      <c r="B85">
        <v>3.8</v>
      </c>
    </row>
    <row r="86" spans="1:2" ht="15.75" customHeight="1" x14ac:dyDescent="0.2">
      <c r="A86">
        <v>42</v>
      </c>
      <c r="B86">
        <v>3.8</v>
      </c>
    </row>
    <row r="87" spans="1:2" ht="15.75" customHeight="1" x14ac:dyDescent="0.2">
      <c r="A87">
        <v>42.5</v>
      </c>
      <c r="B87">
        <v>3.8</v>
      </c>
    </row>
    <row r="88" spans="1:2" ht="15.75" customHeight="1" x14ac:dyDescent="0.2">
      <c r="A88">
        <v>43</v>
      </c>
      <c r="B88">
        <v>3.9</v>
      </c>
    </row>
    <row r="89" spans="1:2" ht="15.75" customHeight="1" x14ac:dyDescent="0.2">
      <c r="A89">
        <v>43.5</v>
      </c>
      <c r="B89">
        <v>3.9</v>
      </c>
    </row>
    <row r="90" spans="1:2" ht="15.75" customHeight="1" x14ac:dyDescent="0.2">
      <c r="A90">
        <v>44</v>
      </c>
      <c r="B90">
        <v>3.9</v>
      </c>
    </row>
    <row r="91" spans="1:2" ht="15.75" customHeight="1" x14ac:dyDescent="0.2">
      <c r="A91">
        <v>44.5</v>
      </c>
      <c r="B91">
        <v>4</v>
      </c>
    </row>
    <row r="92" spans="1:2" ht="15.75" customHeight="1" x14ac:dyDescent="0.2">
      <c r="A92">
        <v>45</v>
      </c>
      <c r="B92">
        <v>4</v>
      </c>
    </row>
    <row r="93" spans="1:2" ht="15.75" customHeight="1" x14ac:dyDescent="0.2">
      <c r="A93">
        <v>45.5</v>
      </c>
      <c r="B93">
        <v>4.0999999999999996</v>
      </c>
    </row>
    <row r="94" spans="1:2" ht="15.75" customHeight="1" x14ac:dyDescent="0.2">
      <c r="A94">
        <v>46</v>
      </c>
      <c r="B94">
        <v>4.0999999999999996</v>
      </c>
    </row>
    <row r="95" spans="1:2" ht="15.75" customHeight="1" x14ac:dyDescent="0.2">
      <c r="A95">
        <v>46.5</v>
      </c>
      <c r="B95">
        <v>4.2</v>
      </c>
    </row>
    <row r="96" spans="1:2" ht="15.75" customHeight="1" x14ac:dyDescent="0.2">
      <c r="A96">
        <v>47</v>
      </c>
      <c r="B96">
        <v>4.2</v>
      </c>
    </row>
    <row r="97" spans="1:2" ht="15.75" customHeight="1" x14ac:dyDescent="0.2">
      <c r="A97">
        <v>47.5</v>
      </c>
      <c r="B97">
        <v>4.3</v>
      </c>
    </row>
    <row r="98" spans="1:2" ht="15.75" customHeight="1" x14ac:dyDescent="0.2">
      <c r="A98">
        <v>48</v>
      </c>
      <c r="B98">
        <v>4.3</v>
      </c>
    </row>
    <row r="99" spans="1:2" ht="15.75" customHeight="1" x14ac:dyDescent="0.2">
      <c r="A99">
        <v>48.5</v>
      </c>
      <c r="B99">
        <v>4.4000000000000004</v>
      </c>
    </row>
    <row r="100" spans="1:2" ht="15.75" customHeight="1" x14ac:dyDescent="0.2">
      <c r="A100">
        <v>49</v>
      </c>
      <c r="B100">
        <v>4.4000000000000004</v>
      </c>
    </row>
    <row r="101" spans="1:2" ht="15.75" customHeight="1" x14ac:dyDescent="0.2">
      <c r="A101">
        <v>49.5</v>
      </c>
      <c r="B101">
        <v>4.5</v>
      </c>
    </row>
    <row r="102" spans="1:2" ht="15.75" customHeight="1" x14ac:dyDescent="0.2">
      <c r="A102">
        <v>50</v>
      </c>
      <c r="B102">
        <v>4.5</v>
      </c>
    </row>
    <row r="103" spans="1:2" ht="15.75" customHeight="1" x14ac:dyDescent="0.2">
      <c r="A103">
        <v>50.5</v>
      </c>
      <c r="B103">
        <v>4.5999999999999996</v>
      </c>
    </row>
    <row r="104" spans="1:2" ht="15.75" customHeight="1" x14ac:dyDescent="0.2">
      <c r="A104">
        <v>51</v>
      </c>
      <c r="B104">
        <v>4.5999999999999996</v>
      </c>
    </row>
    <row r="105" spans="1:2" ht="15.75" customHeight="1" x14ac:dyDescent="0.2">
      <c r="A105">
        <v>51.5</v>
      </c>
      <c r="B105">
        <v>4.7</v>
      </c>
    </row>
    <row r="106" spans="1:2" ht="15.75" customHeight="1" x14ac:dyDescent="0.2">
      <c r="A106">
        <v>52</v>
      </c>
      <c r="B106">
        <v>4.7</v>
      </c>
    </row>
    <row r="107" spans="1:2" ht="15.75" customHeight="1" x14ac:dyDescent="0.2">
      <c r="A107">
        <v>52.5</v>
      </c>
      <c r="B107">
        <v>4.8</v>
      </c>
    </row>
    <row r="108" spans="1:2" ht="15.75" customHeight="1" x14ac:dyDescent="0.2">
      <c r="A108">
        <v>53</v>
      </c>
      <c r="B108">
        <v>4.8</v>
      </c>
    </row>
    <row r="109" spans="1:2" ht="15.75" customHeight="1" x14ac:dyDescent="0.2">
      <c r="A109">
        <v>53.5</v>
      </c>
      <c r="B109">
        <v>4.9000000000000004</v>
      </c>
    </row>
    <row r="110" spans="1:2" ht="15.75" customHeight="1" x14ac:dyDescent="0.2">
      <c r="A110">
        <v>54</v>
      </c>
      <c r="B110">
        <v>4.9000000000000004</v>
      </c>
    </row>
    <row r="111" spans="1:2" ht="15.75" customHeight="1" x14ac:dyDescent="0.2">
      <c r="A111">
        <v>54.5</v>
      </c>
      <c r="B111">
        <v>5</v>
      </c>
    </row>
    <row r="112" spans="1:2" ht="15.75" customHeight="1" x14ac:dyDescent="0.2">
      <c r="A112">
        <v>55</v>
      </c>
      <c r="B112">
        <v>5</v>
      </c>
    </row>
    <row r="113" spans="1:2" ht="15.75" customHeight="1" x14ac:dyDescent="0.2">
      <c r="A113">
        <v>55.5</v>
      </c>
      <c r="B113">
        <v>5.0999999999999996</v>
      </c>
    </row>
    <row r="114" spans="1:2" ht="15.75" customHeight="1" x14ac:dyDescent="0.2">
      <c r="A114">
        <v>56</v>
      </c>
      <c r="B114">
        <v>5.0999999999999996</v>
      </c>
    </row>
    <row r="115" spans="1:2" ht="15.75" customHeight="1" x14ac:dyDescent="0.2">
      <c r="A115">
        <v>56.5</v>
      </c>
      <c r="B115">
        <v>5.2</v>
      </c>
    </row>
    <row r="116" spans="1:2" ht="15.75" customHeight="1" x14ac:dyDescent="0.2">
      <c r="A116">
        <v>57</v>
      </c>
      <c r="B116">
        <v>5.2</v>
      </c>
    </row>
    <row r="117" spans="1:2" ht="15.75" customHeight="1" x14ac:dyDescent="0.2">
      <c r="A117">
        <v>57.5</v>
      </c>
      <c r="B117">
        <v>5.3</v>
      </c>
    </row>
    <row r="118" spans="1:2" ht="15.75" customHeight="1" x14ac:dyDescent="0.2">
      <c r="A118">
        <v>58</v>
      </c>
      <c r="B118">
        <v>5.3</v>
      </c>
    </row>
    <row r="119" spans="1:2" ht="15.75" customHeight="1" x14ac:dyDescent="0.2">
      <c r="A119">
        <v>58.5</v>
      </c>
      <c r="B119">
        <v>5.4</v>
      </c>
    </row>
    <row r="120" spans="1:2" ht="15.75" customHeight="1" x14ac:dyDescent="0.2">
      <c r="A120">
        <v>59</v>
      </c>
      <c r="B120">
        <v>5.4</v>
      </c>
    </row>
    <row r="121" spans="1:2" ht="15.75" customHeight="1" x14ac:dyDescent="0.2">
      <c r="A121">
        <v>59.5</v>
      </c>
      <c r="B121">
        <v>5.5</v>
      </c>
    </row>
    <row r="122" spans="1:2" ht="15.75" customHeight="1" x14ac:dyDescent="0.2">
      <c r="A122">
        <v>60</v>
      </c>
      <c r="B122">
        <v>5.5</v>
      </c>
    </row>
    <row r="123" spans="1:2" ht="15.75" customHeight="1" x14ac:dyDescent="0.2">
      <c r="A123">
        <v>60.5</v>
      </c>
      <c r="B123">
        <v>5.6</v>
      </c>
    </row>
    <row r="124" spans="1:2" ht="15.75" customHeight="1" x14ac:dyDescent="0.2">
      <c r="A124">
        <v>61</v>
      </c>
      <c r="B124">
        <v>5.6</v>
      </c>
    </row>
    <row r="125" spans="1:2" ht="15.75" customHeight="1" x14ac:dyDescent="0.2">
      <c r="A125">
        <v>61.5</v>
      </c>
      <c r="B125">
        <v>5.7</v>
      </c>
    </row>
    <row r="126" spans="1:2" ht="15.75" customHeight="1" x14ac:dyDescent="0.2">
      <c r="A126">
        <v>62</v>
      </c>
      <c r="B126">
        <v>5.7</v>
      </c>
    </row>
    <row r="127" spans="1:2" ht="15.75" customHeight="1" x14ac:dyDescent="0.2">
      <c r="A127">
        <v>62.5</v>
      </c>
      <c r="B127">
        <v>5.8</v>
      </c>
    </row>
    <row r="128" spans="1:2" ht="15.75" customHeight="1" x14ac:dyDescent="0.2">
      <c r="A128">
        <v>63</v>
      </c>
      <c r="B128">
        <v>5.8</v>
      </c>
    </row>
    <row r="129" spans="1:2" ht="15.75" customHeight="1" x14ac:dyDescent="0.2">
      <c r="A129">
        <v>63.5</v>
      </c>
      <c r="B129">
        <v>5.9</v>
      </c>
    </row>
    <row r="130" spans="1:2" ht="15.75" customHeight="1" x14ac:dyDescent="0.2">
      <c r="A130">
        <v>64</v>
      </c>
      <c r="B130">
        <v>5.9</v>
      </c>
    </row>
    <row r="131" spans="1:2" ht="15.75" customHeight="1" x14ac:dyDescent="0.2">
      <c r="A131">
        <v>64.5</v>
      </c>
      <c r="B131">
        <v>6</v>
      </c>
    </row>
    <row r="132" spans="1:2" ht="15.75" customHeight="1" x14ac:dyDescent="0.2">
      <c r="A132">
        <v>65</v>
      </c>
      <c r="B132">
        <v>6</v>
      </c>
    </row>
    <row r="133" spans="1:2" ht="15.75" customHeight="1" x14ac:dyDescent="0.2">
      <c r="A133">
        <v>65.5</v>
      </c>
      <c r="B133">
        <v>6.1</v>
      </c>
    </row>
    <row r="134" spans="1:2" ht="15.75" customHeight="1" x14ac:dyDescent="0.2">
      <c r="A134">
        <v>66</v>
      </c>
      <c r="B134">
        <v>6.1</v>
      </c>
    </row>
    <row r="135" spans="1:2" ht="15.75" customHeight="1" x14ac:dyDescent="0.2">
      <c r="A135">
        <v>66.5</v>
      </c>
      <c r="B135">
        <v>6.2</v>
      </c>
    </row>
    <row r="136" spans="1:2" ht="15.75" customHeight="1" x14ac:dyDescent="0.2">
      <c r="A136">
        <v>67</v>
      </c>
      <c r="B136">
        <v>6.2</v>
      </c>
    </row>
    <row r="137" spans="1:2" ht="15.75" customHeight="1" x14ac:dyDescent="0.2">
      <c r="A137">
        <v>67.5</v>
      </c>
      <c r="B137">
        <v>6.3</v>
      </c>
    </row>
    <row r="138" spans="1:2" ht="15.75" customHeight="1" x14ac:dyDescent="0.2">
      <c r="A138">
        <v>68</v>
      </c>
      <c r="B138">
        <v>6.3</v>
      </c>
    </row>
    <row r="139" spans="1:2" ht="15.75" customHeight="1" x14ac:dyDescent="0.2">
      <c r="A139">
        <v>68.5</v>
      </c>
      <c r="B139">
        <v>6.4</v>
      </c>
    </row>
    <row r="140" spans="1:2" ht="15.75" customHeight="1" x14ac:dyDescent="0.2">
      <c r="A140">
        <v>69</v>
      </c>
      <c r="B140">
        <v>6.4</v>
      </c>
    </row>
    <row r="141" spans="1:2" ht="15.75" customHeight="1" x14ac:dyDescent="0.2">
      <c r="A141">
        <v>69.5</v>
      </c>
      <c r="B141">
        <v>6.5</v>
      </c>
    </row>
    <row r="142" spans="1:2" ht="15.75" customHeight="1" x14ac:dyDescent="0.2">
      <c r="A142">
        <v>70</v>
      </c>
      <c r="B142">
        <v>6.5</v>
      </c>
    </row>
    <row r="143" spans="1:2" ht="15.75" customHeight="1" x14ac:dyDescent="0.2">
      <c r="A143">
        <v>70.5</v>
      </c>
      <c r="B143">
        <v>6.6</v>
      </c>
    </row>
    <row r="144" spans="1:2" ht="15.75" customHeight="1" x14ac:dyDescent="0.2">
      <c r="A144">
        <v>71</v>
      </c>
      <c r="B144">
        <v>6.6</v>
      </c>
    </row>
    <row r="145" spans="1:2" ht="15.75" customHeight="1" x14ac:dyDescent="0.2">
      <c r="A145">
        <v>71.5</v>
      </c>
      <c r="B145">
        <v>6.7</v>
      </c>
    </row>
    <row r="146" spans="1:2" ht="15.75" customHeight="1" x14ac:dyDescent="0.2">
      <c r="A146">
        <v>72</v>
      </c>
      <c r="B146">
        <v>6.7</v>
      </c>
    </row>
    <row r="147" spans="1:2" ht="15.75" customHeight="1" x14ac:dyDescent="0.2">
      <c r="A147">
        <v>72.5</v>
      </c>
      <c r="B147">
        <v>6.8</v>
      </c>
    </row>
    <row r="148" spans="1:2" ht="15.75" customHeight="1" x14ac:dyDescent="0.2">
      <c r="A148">
        <v>73</v>
      </c>
      <c r="B148">
        <v>6.8</v>
      </c>
    </row>
    <row r="149" spans="1:2" ht="15.75" customHeight="1" x14ac:dyDescent="0.2">
      <c r="A149">
        <v>73.5</v>
      </c>
      <c r="B149">
        <v>6.9</v>
      </c>
    </row>
    <row r="150" spans="1:2" ht="15.75" customHeight="1" x14ac:dyDescent="0.2">
      <c r="A150">
        <v>74</v>
      </c>
      <c r="B150">
        <v>6.9</v>
      </c>
    </row>
    <row r="151" spans="1:2" ht="15.75" customHeight="1" x14ac:dyDescent="0.2">
      <c r="A151">
        <v>74.5</v>
      </c>
      <c r="B151">
        <v>7</v>
      </c>
    </row>
    <row r="152" spans="1:2" ht="15.75" customHeight="1" x14ac:dyDescent="0.2">
      <c r="A152">
        <v>75</v>
      </c>
      <c r="B152">
        <v>7</v>
      </c>
    </row>
    <row r="153" spans="1:2" ht="15.75" customHeight="1" x14ac:dyDescent="0.2"/>
    <row r="154" spans="1:2" ht="15.75" customHeight="1" x14ac:dyDescent="0.2"/>
    <row r="155" spans="1:2" ht="15.75" customHeight="1" x14ac:dyDescent="0.2"/>
    <row r="156" spans="1:2" ht="15.75" customHeight="1" x14ac:dyDescent="0.2"/>
    <row r="157" spans="1:2" ht="15.75" customHeight="1" x14ac:dyDescent="0.2"/>
    <row r="158" spans="1:2" ht="15.75" customHeight="1" x14ac:dyDescent="0.2"/>
    <row r="159" spans="1:2" ht="15.75" customHeight="1" x14ac:dyDescent="0.2"/>
    <row r="160" spans="1:2"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71</v>
      </c>
      <c r="B1" t="s">
        <v>72</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66</v>
      </c>
      <c r="B1" t="s">
        <v>67</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1" t="s">
        <v>73</v>
      </c>
      <c r="B1" s="7" t="s">
        <v>66</v>
      </c>
      <c r="C1" s="8"/>
      <c r="D1" s="8"/>
      <c r="E1" s="9"/>
    </row>
    <row r="2" spans="1:5" ht="49" thickBot="1" x14ac:dyDescent="0.25">
      <c r="A2" s="72"/>
      <c r="B2" s="10" t="s">
        <v>63</v>
      </c>
      <c r="C2" s="11" t="s">
        <v>64</v>
      </c>
      <c r="D2" s="31" t="s">
        <v>74</v>
      </c>
      <c r="E2" s="50" t="s">
        <v>6</v>
      </c>
    </row>
    <row r="3" spans="1:5" ht="33" thickBot="1" x14ac:dyDescent="0.25">
      <c r="A3" s="12" t="s">
        <v>75</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7</vt:i4>
      </vt:variant>
      <vt:variant>
        <vt:lpstr>Rangos con nombre</vt:lpstr>
      </vt:variant>
      <vt:variant>
        <vt:i4>19</vt:i4>
      </vt:variant>
    </vt:vector>
  </HeadingPairs>
  <TitlesOfParts>
    <vt:vector size="26" baseType="lpstr">
      <vt:lpstr>RUBRICA</vt:lpstr>
      <vt:lpstr>EVALUACION FF2</vt:lpstr>
      <vt:lpstr>AVA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Mallén González G</cp:lastModifiedBy>
  <cp:revision/>
  <dcterms:created xsi:type="dcterms:W3CDTF">2023-08-07T04:08:01Z</dcterms:created>
  <dcterms:modified xsi:type="dcterms:W3CDTF">2025-12-01T20:03:40Z</dcterms:modified>
  <cp:category/>
  <cp:contentStatus/>
</cp:coreProperties>
</file>